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\Downloads\"/>
    </mc:Choice>
  </mc:AlternateContent>
  <xr:revisionPtr revIDLastSave="0" documentId="13_ncr:1_{9BF962B6-399D-4C7A-9FA0-F01B6AD48DAF}" xr6:coauthVersionLast="47" xr6:coauthVersionMax="47" xr10:uidLastSave="{00000000-0000-0000-0000-000000000000}"/>
  <bookViews>
    <workbookView xWindow="-108" yWindow="-108" windowWidth="23256" windowHeight="12456" xr2:uid="{8C87DC46-EA0A-465A-9CB5-58E2F8ADC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4" i="1"/>
  <c r="B17" i="1" s="1"/>
  <c r="B12" i="1"/>
  <c r="B11" i="1"/>
  <c r="B10" i="1"/>
  <c r="B13" i="1" s="1"/>
  <c r="B15" i="1" s="1"/>
</calcChain>
</file>

<file path=xl/sharedStrings.xml><?xml version="1.0" encoding="utf-8"?>
<sst xmlns="http://schemas.openxmlformats.org/spreadsheetml/2006/main" count="15" uniqueCount="15">
  <si>
    <t>Selling Price</t>
  </si>
  <si>
    <t>COGS</t>
  </si>
  <si>
    <t>Amazon Fee %</t>
  </si>
  <si>
    <t>Ad Spend</t>
  </si>
  <si>
    <t>Ad Units</t>
  </si>
  <si>
    <t>Organic Units</t>
  </si>
  <si>
    <t>Fixed Cost</t>
  </si>
  <si>
    <t>A10 Gross Margin</t>
  </si>
  <si>
    <t>A11 Amazon Fee</t>
  </si>
  <si>
    <t>A12 Ad Cost per Unit</t>
  </si>
  <si>
    <t>A13 Net Margin Ad Unit</t>
  </si>
  <si>
    <t>A14 Total Revenue</t>
  </si>
  <si>
    <t>A15 Total Profit</t>
  </si>
  <si>
    <t>A16 ACOS</t>
  </si>
  <si>
    <t>A17 TACOS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</si>
</sst>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27DD-64E2-4DC1-B324-279A78E47E21}">
  <dimension ref="A1:B17"/>
  <sheetViews>
    <sheetView tabSelected="1" workbookViewId="0">
      <selection activeCell="G9" sqref="G9"/>
    </sheetView>
  </sheetViews>
  <sheetFormatPr defaultRowHeight="14.4" x14ac:dyDescent="0.3"/>
  <cols>
    <col min="1" max="1" width="33.21875" customWidth="1"/>
    <col min="2" max="2" width="16.33203125" customWidth="1"/>
  </cols>
  <sheetData>
    <row r="1" spans="1:2" ht="25.8" x14ac:dyDescent="0.3">
      <c r="A1" s="1" t="s">
        <v>0</v>
      </c>
      <c r="B1" s="1">
        <v>800</v>
      </c>
    </row>
    <row r="2" spans="1:2" ht="25.8" x14ac:dyDescent="0.3">
      <c r="A2" s="1" t="s">
        <v>1</v>
      </c>
      <c r="B2" s="1">
        <v>280</v>
      </c>
    </row>
    <row r="3" spans="1:2" ht="25.8" x14ac:dyDescent="0.3">
      <c r="A3" s="1" t="s">
        <v>2</v>
      </c>
      <c r="B3" s="2">
        <v>0.12</v>
      </c>
    </row>
    <row r="4" spans="1:2" ht="25.8" x14ac:dyDescent="0.3">
      <c r="A4" s="1" t="s">
        <v>3</v>
      </c>
      <c r="B4" s="1">
        <v>300000</v>
      </c>
    </row>
    <row r="5" spans="1:2" ht="25.8" x14ac:dyDescent="0.3">
      <c r="A5" s="1" t="s">
        <v>4</v>
      </c>
      <c r="B5" s="1">
        <v>1500</v>
      </c>
    </row>
    <row r="6" spans="1:2" ht="25.8" x14ac:dyDescent="0.3">
      <c r="A6" s="1" t="s">
        <v>5</v>
      </c>
      <c r="B6" s="1">
        <v>2000</v>
      </c>
    </row>
    <row r="7" spans="1:2" ht="25.8" x14ac:dyDescent="0.3">
      <c r="A7" s="1" t="s">
        <v>6</v>
      </c>
      <c r="B7" s="1">
        <v>150000</v>
      </c>
    </row>
    <row r="8" spans="1:2" ht="25.8" x14ac:dyDescent="0.5">
      <c r="A8" s="3"/>
      <c r="B8" s="3"/>
    </row>
    <row r="9" spans="1:2" ht="25.8" x14ac:dyDescent="0.5">
      <c r="A9" s="3"/>
      <c r="B9" s="3"/>
    </row>
    <row r="10" spans="1:2" ht="25.8" x14ac:dyDescent="0.5">
      <c r="A10" s="3" t="s">
        <v>7</v>
      </c>
      <c r="B10" s="3">
        <f>B1-B2</f>
        <v>520</v>
      </c>
    </row>
    <row r="11" spans="1:2" ht="25.8" x14ac:dyDescent="0.5">
      <c r="A11" s="3" t="s">
        <v>8</v>
      </c>
      <c r="B11" s="3">
        <f>B1*B3</f>
        <v>96</v>
      </c>
    </row>
    <row r="12" spans="1:2" ht="25.8" x14ac:dyDescent="0.5">
      <c r="A12" s="3" t="s">
        <v>9</v>
      </c>
      <c r="B12" s="3">
        <f>B4/B5</f>
        <v>200</v>
      </c>
    </row>
    <row r="13" spans="1:2" ht="25.8" x14ac:dyDescent="0.5">
      <c r="A13" s="3" t="s">
        <v>10</v>
      </c>
      <c r="B13" s="3">
        <f>B10-B11-B12</f>
        <v>224</v>
      </c>
    </row>
    <row r="14" spans="1:2" ht="25.8" x14ac:dyDescent="0.5">
      <c r="A14" s="3" t="s">
        <v>11</v>
      </c>
      <c r="B14" s="3">
        <f>B1*(B5+B6)</f>
        <v>2800000</v>
      </c>
    </row>
    <row r="15" spans="1:2" ht="25.8" x14ac:dyDescent="0.5">
      <c r="A15" s="3" t="s">
        <v>12</v>
      </c>
      <c r="B15" s="3">
        <f>(B13*B5)+((B10-B11)*B6)-B7</f>
        <v>1034000</v>
      </c>
    </row>
    <row r="16" spans="1:2" ht="25.8" x14ac:dyDescent="0.5">
      <c r="A16" s="3" t="s">
        <v>13</v>
      </c>
      <c r="B16" s="4">
        <f>B4/(B1*B5)</f>
        <v>0.25</v>
      </c>
    </row>
    <row r="17" spans="1:2" ht="25.8" x14ac:dyDescent="0.5">
      <c r="A17" s="3" t="s">
        <v>14</v>
      </c>
      <c r="B17" s="4">
        <f>B4/B14</f>
        <v>0.10714285714285714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DIBYASHREE PUROHIT</dc:creator>
  <cp:lastModifiedBy>DIBYASHREE PUROHIT</cp:lastModifiedBy>
  <dcterms:created xsi:type="dcterms:W3CDTF">2026-06-01T15:45:41Z</dcterms:created>
  <dcterms:modified xsi:type="dcterms:W3CDTF">2026-06-01T15:56:37Z</dcterms:modified>
</cp:coreProperties>
</file>